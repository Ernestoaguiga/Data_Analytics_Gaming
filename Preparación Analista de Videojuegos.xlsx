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aración Analista de Videoju" sheetId="1" r:id="rId5"/>
  </sheets>
  <definedNames>
    <definedName hidden="1" localSheetId="0" name="_xlnm._FilterDatabase">'Preparación Analista de Videoju'!$A$1:$J$19</definedName>
  </definedNames>
  <calcPr/>
</workbook>
</file>

<file path=xl/sharedStrings.xml><?xml version="1.0" encoding="utf-8"?>
<sst xmlns="http://schemas.openxmlformats.org/spreadsheetml/2006/main" count="54" uniqueCount="21">
  <si>
    <t>ID_Jugador</t>
  </si>
  <si>
    <t>Pais</t>
  </si>
  <si>
    <t>Horas_Jugadas</t>
  </si>
  <si>
    <t>Compras_Internas</t>
  </si>
  <si>
    <t>Plataforma</t>
  </si>
  <si>
    <t>Plataforma_limpia</t>
  </si>
  <si>
    <t>México</t>
  </si>
  <si>
    <t>PC</t>
  </si>
  <si>
    <t>PS5</t>
  </si>
  <si>
    <t>TOTAL DE INGRESOS</t>
  </si>
  <si>
    <t>Switch</t>
  </si>
  <si>
    <t>Xbox</t>
  </si>
  <si>
    <t>pc</t>
  </si>
  <si>
    <t>Promedio de Horas Jugada</t>
  </si>
  <si>
    <t>ps5</t>
  </si>
  <si>
    <t>ARPU</t>
  </si>
  <si>
    <t>Pc</t>
  </si>
  <si>
    <t>Ps5</t>
  </si>
  <si>
    <t>XBOX</t>
  </si>
  <si>
    <t>SWITCH</t>
  </si>
  <si>
    <t>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</si>
</sst>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93C47D"/>
                </a:solidFill>
                <a:latin typeface="Roboto"/>
              </a:defRPr>
            </a:pPr>
            <a:r>
              <a:rPr b="1" sz="2000">
                <a:solidFill>
                  <a:srgbClr val="93C47D"/>
                </a:solidFill>
                <a:latin typeface="Roboto"/>
              </a:rPr>
              <a:t>Switch y Xbox tienen el mando en sus manos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'Preparación Analista de Videoju'!$J$15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'Preparación Analista de Videoju'!$J$16</c:f>
              <c:numCache/>
            </c:numRef>
          </c:val>
        </c:ser>
        <c:ser>
          <c:idx val="1"/>
          <c:order val="1"/>
          <c:tx>
            <c:strRef>
              <c:f>'Preparación Analista de Videoju'!$H$15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'Preparación Analista de Videoju'!$H$16</c:f>
              <c:numCache/>
            </c:numRef>
          </c:val>
        </c:ser>
        <c:ser>
          <c:idx val="2"/>
          <c:order val="2"/>
          <c:tx>
            <c:strRef>
              <c:f>'Preparación Analista de Videoju'!$G$15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'Preparación Analista de Videoju'!$G$16</c:f>
              <c:numCache/>
            </c:numRef>
          </c:val>
        </c:ser>
        <c:ser>
          <c:idx val="3"/>
          <c:order val="3"/>
          <c:tx>
            <c:strRef>
              <c:f>'Preparación Analista de Videoju'!$J$15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'Preparación Analista de Videoju'!$J$16</c:f>
              <c:numCache/>
            </c:numRef>
          </c:val>
        </c:ser>
        <c:axId val="343724845"/>
        <c:axId val="1966828071"/>
      </c:barChart>
      <c:catAx>
        <c:axId val="343724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828071"/>
      </c:catAx>
      <c:valAx>
        <c:axId val="1966828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724845"/>
      </c:valAx>
    </c:plotArea>
    <c:legend>
      <c:legendPos val="r"/>
      <c:layout>
        <c:manualLayout>
          <c:xMode val="edge"/>
          <c:yMode val="edge"/>
          <c:x val="0.3332324218750001"/>
          <c:y val="0.137241689128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26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390525</xdr:colOff>
      <xdr:row>26</xdr:row>
      <xdr:rowOff>85725</xdr:rowOff>
    </xdr:from>
    <xdr:ext cx="5715000" cy="3533775"/>
    <xdr:pic>
      <xdr:nvPicPr>
        <xdr:cNvPr id="55533151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25"/>
    <col customWidth="1" min="5" max="5" width="0.38"/>
    <col customWidth="1" min="6" max="6" width="16.5"/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12.0</v>
      </c>
      <c r="D2" s="2">
        <v>5.99</v>
      </c>
      <c r="E2" s="1" t="s">
        <v>7</v>
      </c>
      <c r="F2" s="3" t="str">
        <f t="shared" ref="F2:F19" si="1">UPPER(E2)</f>
        <v>PC</v>
      </c>
    </row>
    <row r="3" hidden="1">
      <c r="A3" s="1">
        <v>2.0</v>
      </c>
      <c r="B3" s="1" t="s">
        <v>6</v>
      </c>
      <c r="C3" s="1">
        <v>45.0</v>
      </c>
      <c r="D3" s="2">
        <v>0.0</v>
      </c>
      <c r="E3" s="1" t="s">
        <v>8</v>
      </c>
      <c r="F3" s="3" t="str">
        <f t="shared" si="1"/>
        <v>PS5</v>
      </c>
      <c r="G3" s="1" t="s">
        <v>9</v>
      </c>
    </row>
    <row r="4">
      <c r="A4" s="1">
        <v>3.0</v>
      </c>
      <c r="B4" s="1" t="s">
        <v>6</v>
      </c>
      <c r="C4" s="1">
        <v>1.0</v>
      </c>
      <c r="D4" s="2">
        <v>15.0</v>
      </c>
      <c r="E4" s="1" t="s">
        <v>10</v>
      </c>
      <c r="F4" s="3" t="str">
        <f t="shared" si="1"/>
        <v>SWITCH</v>
      </c>
      <c r="G4" s="4">
        <f>SUM(D2:D19)</f>
        <v>364.18</v>
      </c>
    </row>
    <row r="5">
      <c r="A5" s="1">
        <v>4.0</v>
      </c>
      <c r="B5" s="1" t="s">
        <v>6</v>
      </c>
      <c r="C5" s="1">
        <v>10.0</v>
      </c>
      <c r="D5" s="2">
        <v>40.0</v>
      </c>
      <c r="E5" s="1" t="s">
        <v>11</v>
      </c>
      <c r="F5" s="3" t="str">
        <f t="shared" si="1"/>
        <v>XBOX</v>
      </c>
    </row>
    <row r="6" hidden="1">
      <c r="A6" s="1">
        <v>5.0</v>
      </c>
      <c r="B6" s="1" t="s">
        <v>6</v>
      </c>
      <c r="C6" s="1">
        <v>20.0</v>
      </c>
      <c r="D6" s="2">
        <v>16.0</v>
      </c>
      <c r="E6" s="1" t="s">
        <v>12</v>
      </c>
      <c r="F6" s="3" t="str">
        <f t="shared" si="1"/>
        <v>PC</v>
      </c>
      <c r="G6" s="1" t="s">
        <v>13</v>
      </c>
    </row>
    <row r="7">
      <c r="A7" s="1">
        <v>6.0</v>
      </c>
      <c r="B7" s="1" t="s">
        <v>6</v>
      </c>
      <c r="C7" s="1">
        <v>8.0</v>
      </c>
      <c r="D7" s="2">
        <v>0.0</v>
      </c>
      <c r="E7" s="1" t="s">
        <v>14</v>
      </c>
      <c r="F7" s="3" t="str">
        <f t="shared" si="1"/>
        <v>PS5</v>
      </c>
      <c r="G7" s="3">
        <f>AVERAGE(C2:C19)</f>
        <v>22.72222222</v>
      </c>
    </row>
    <row r="8" hidden="1">
      <c r="A8" s="1">
        <v>7.0</v>
      </c>
      <c r="B8" s="1" t="s">
        <v>6</v>
      </c>
      <c r="C8" s="1">
        <v>15.0</v>
      </c>
      <c r="D8" s="2">
        <v>0.0</v>
      </c>
      <c r="E8" s="1" t="s">
        <v>14</v>
      </c>
      <c r="F8" s="3" t="str">
        <f t="shared" si="1"/>
        <v>PS5</v>
      </c>
    </row>
    <row r="9" hidden="1">
      <c r="A9" s="1">
        <v>8.0</v>
      </c>
      <c r="B9" s="1" t="s">
        <v>6</v>
      </c>
      <c r="C9" s="1">
        <v>30.0</v>
      </c>
      <c r="D9" s="2">
        <v>10.0</v>
      </c>
      <c r="E9" s="1" t="s">
        <v>12</v>
      </c>
      <c r="F9" s="3" t="str">
        <f t="shared" si="1"/>
        <v>PC</v>
      </c>
      <c r="G9" s="5" t="s">
        <v>15</v>
      </c>
    </row>
    <row r="10" hidden="1">
      <c r="A10" s="1">
        <v>9.0</v>
      </c>
      <c r="B10" s="1" t="s">
        <v>6</v>
      </c>
      <c r="C10" s="1">
        <v>50.0</v>
      </c>
      <c r="D10" s="2">
        <v>31.0</v>
      </c>
      <c r="E10" s="1" t="s">
        <v>16</v>
      </c>
      <c r="F10" s="3" t="str">
        <f t="shared" si="1"/>
        <v>PC</v>
      </c>
      <c r="G10" s="4">
        <f>G4/18</f>
        <v>20.23222222</v>
      </c>
    </row>
    <row r="11">
      <c r="A11" s="1">
        <v>10.0</v>
      </c>
      <c r="B11" s="1" t="s">
        <v>6</v>
      </c>
      <c r="C11" s="1">
        <v>9.0</v>
      </c>
      <c r="D11" s="2">
        <v>22.5</v>
      </c>
      <c r="E11" s="1" t="s">
        <v>17</v>
      </c>
      <c r="F11" s="3" t="str">
        <f t="shared" si="1"/>
        <v>PS5</v>
      </c>
    </row>
    <row r="12" hidden="1">
      <c r="A12" s="1">
        <v>11.0</v>
      </c>
      <c r="B12" s="1" t="s">
        <v>6</v>
      </c>
      <c r="C12" s="1">
        <v>60.0</v>
      </c>
      <c r="D12" s="2">
        <v>99.9</v>
      </c>
      <c r="E12" s="1" t="s">
        <v>18</v>
      </c>
      <c r="F12" s="3" t="str">
        <f t="shared" si="1"/>
        <v>XBOX</v>
      </c>
      <c r="G12" s="1" t="s">
        <v>7</v>
      </c>
      <c r="H12" s="1" t="s">
        <v>8</v>
      </c>
      <c r="I12" s="1" t="s">
        <v>19</v>
      </c>
      <c r="J12" s="1" t="s">
        <v>18</v>
      </c>
    </row>
    <row r="13" hidden="1">
      <c r="A13" s="1">
        <v>12.0</v>
      </c>
      <c r="B13" s="1" t="s">
        <v>6</v>
      </c>
      <c r="C13" s="1">
        <v>35.0</v>
      </c>
      <c r="D13" s="2">
        <v>33.0</v>
      </c>
      <c r="E13" s="1" t="s">
        <v>19</v>
      </c>
      <c r="F13" s="3" t="str">
        <f t="shared" si="1"/>
        <v>SWITCH</v>
      </c>
      <c r="G13" s="3">
        <f>COUNTIF(E2:E19, "PC")</f>
        <v>8</v>
      </c>
      <c r="H13" s="3">
        <f>COUNTIF(E2:E19, "PS5")</f>
        <v>5</v>
      </c>
      <c r="I13" s="3">
        <f>COUNTIF(E2:E19, "SWITCH")</f>
        <v>3</v>
      </c>
      <c r="J13" s="3">
        <f>COUNTIF(E2:E19, "XBOX")</f>
        <v>2</v>
      </c>
    </row>
    <row r="14" hidden="1">
      <c r="A14" s="1">
        <v>13.0</v>
      </c>
      <c r="B14" s="1" t="s">
        <v>6</v>
      </c>
      <c r="C14" s="1">
        <v>25.0</v>
      </c>
      <c r="D14" s="2">
        <v>44.3</v>
      </c>
      <c r="E14" s="1" t="s">
        <v>19</v>
      </c>
      <c r="F14" s="3" t="str">
        <f t="shared" si="1"/>
        <v>SWITCH</v>
      </c>
      <c r="G14" s="6" t="s">
        <v>20</v>
      </c>
    </row>
    <row r="15">
      <c r="A15" s="1">
        <v>14.0</v>
      </c>
      <c r="B15" s="1" t="s">
        <v>6</v>
      </c>
      <c r="C15" s="1">
        <v>5.0</v>
      </c>
      <c r="D15" s="2">
        <v>3.0</v>
      </c>
      <c r="E15" s="1" t="s">
        <v>7</v>
      </c>
      <c r="F15" s="3" t="str">
        <f t="shared" si="1"/>
        <v>PC</v>
      </c>
      <c r="G15" s="1" t="s">
        <v>7</v>
      </c>
      <c r="H15" s="1" t="s">
        <v>8</v>
      </c>
      <c r="I15" s="1" t="s">
        <v>19</v>
      </c>
      <c r="J15" s="1" t="s">
        <v>18</v>
      </c>
    </row>
    <row r="16">
      <c r="A16" s="1">
        <v>15.0</v>
      </c>
      <c r="B16" s="1" t="s">
        <v>6</v>
      </c>
      <c r="C16" s="1">
        <v>4.0</v>
      </c>
      <c r="D16" s="2">
        <v>4.0</v>
      </c>
      <c r="E16" s="1" t="s">
        <v>7</v>
      </c>
      <c r="F16" s="3" t="str">
        <f t="shared" si="1"/>
        <v>PC</v>
      </c>
      <c r="G16" s="3">
        <f>SUMIF(E2:E19, "PC", D2:D19)</f>
        <v>78.98</v>
      </c>
      <c r="H16" s="3">
        <f>SUMIF(E2:E19,"PS5",D2:D19)</f>
        <v>53</v>
      </c>
      <c r="I16" s="3">
        <f>SUMIF(E2:E19,"SWITCH",D2:D19)</f>
        <v>92.3</v>
      </c>
      <c r="J16" s="3">
        <f>SUMIF(E2:E19,"XBOX",D2:D19)</f>
        <v>139.9</v>
      </c>
    </row>
    <row r="17" hidden="1">
      <c r="A17" s="1">
        <v>16.0</v>
      </c>
      <c r="B17" s="1" t="s">
        <v>6</v>
      </c>
      <c r="C17" s="1">
        <v>19.0</v>
      </c>
      <c r="D17" s="2">
        <v>5.0</v>
      </c>
      <c r="E17" s="1" t="s">
        <v>7</v>
      </c>
      <c r="F17" s="3" t="str">
        <f t="shared" si="1"/>
        <v>PC</v>
      </c>
    </row>
    <row r="18" hidden="1">
      <c r="A18" s="1">
        <v>17.0</v>
      </c>
      <c r="B18" s="1" t="s">
        <v>6</v>
      </c>
      <c r="C18" s="1">
        <v>33.0</v>
      </c>
      <c r="D18" s="2">
        <v>30.5</v>
      </c>
      <c r="E18" s="1" t="s">
        <v>8</v>
      </c>
      <c r="F18" s="3" t="str">
        <f t="shared" si="1"/>
        <v>PS5</v>
      </c>
    </row>
    <row r="19" hidden="1">
      <c r="A19" s="1">
        <v>18.0</v>
      </c>
      <c r="B19" s="1" t="s">
        <v>6</v>
      </c>
      <c r="C19" s="1">
        <v>28.0</v>
      </c>
      <c r="D19" s="2">
        <v>3.99</v>
      </c>
      <c r="E19" s="1" t="s">
        <v>7</v>
      </c>
      <c r="F19" s="3" t="str">
        <f t="shared" si="1"/>
        <v>PC</v>
      </c>
    </row>
  </sheetData>
  <autoFilter ref="$A$1:$J$19">
    <filterColumn colId="2">
      <customFilters>
        <customFilter operator="lessThan" val="15"/>
      </customFilters>
    </filterColumn>
  </autoFilter>
  <mergeCells count="1">
    <mergeCell ref="G14:J14"/>
  </mergeCells>
  <conditionalFormatting sqref="C2:C1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